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oan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SG&amp;A" sheetId="4" state="visible" r:id="rId4"/>
    <sheet xmlns:r="http://schemas.openxmlformats.org/officeDocument/2006/relationships" name="P&amp;L" sheetId="5" state="visible" r:id="rId5"/>
    <sheet xmlns:r="http://schemas.openxmlformats.org/officeDocument/2006/relationships" name="CashFlow" sheetId="6" state="visible" r:id="rId6"/>
    <sheet xmlns:r="http://schemas.openxmlformats.org/officeDocument/2006/relationships" name="BalanceSheet" sheetId="7" state="visible" r:id="rId7"/>
    <sheet xmlns:r="http://schemas.openxmlformats.org/officeDocument/2006/relationships" name="BreakEven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"/>
    <numFmt numFmtId="165" formatCode="0.0%"/>
    <numFmt numFmtId="166" formatCode="0.000"/>
  </numFmts>
  <fonts count="6">
    <font>
      <name val="Calibri"/>
      <family val="2"/>
      <color theme="1"/>
      <sz val="11"/>
      <scheme val="minor"/>
    </font>
    <font>
      <name val="TH Sarabun New"/>
      <b val="1"/>
      <color rgb="00305496"/>
      <sz val="20"/>
    </font>
    <font>
      <name val="TH Sarabun New"/>
      <i val="1"/>
      <color rgb="00555555"/>
      <sz val="13"/>
    </font>
    <font>
      <name val="TH Sarabun New"/>
      <b val="1"/>
      <color rgb="00FFFFFF"/>
      <sz val="16"/>
    </font>
    <font>
      <name val="TH Sarabun New"/>
      <sz val="14"/>
    </font>
    <font>
      <name val="TH Sarabun New"/>
      <b val="1"/>
      <sz val="14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8EA9D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164" fontId="5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/>
    </xf>
    <xf numFmtId="165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/>
    </xf>
    <xf numFmtId="164" fontId="5" fillId="4" borderId="1" applyAlignment="1" pivotButton="0" quotePrefix="0" xfId="0">
      <alignment horizontal="right" vertical="center"/>
    </xf>
    <xf numFmtId="0" fontId="2" fillId="0" borderId="1" pivotButton="0" quotePrefix="0" xfId="0"/>
    <xf numFmtId="0" fontId="0" fillId="0" borderId="1" pivotButton="0" quotePrefix="0" xfId="0"/>
    <xf numFmtId="3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wrapText="1"/>
    </xf>
    <xf numFmtId="3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5" fillId="5" borderId="1" pivotButton="0" quotePrefix="0" xfId="0"/>
    <xf numFmtId="0" fontId="0" fillId="5" borderId="1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5" fillId="5" borderId="1" applyAlignment="1" pivotButton="0" quotePrefix="0" xfId="0">
      <alignment horizontal="left"/>
    </xf>
    <xf numFmtId="3" fontId="5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40" customWidth="1" min="3" max="3"/>
  </cols>
  <sheetData>
    <row r="1">
      <c r="A1" s="1" t="inlineStr">
        <is>
          <t>VIRIYA Financial Model — Assumptions (5-year)</t>
        </is>
      </c>
    </row>
    <row r="2">
      <c r="A2" s="2" t="inlineStr">
        <is>
          <t>แก้ช่องเหลือง → P&amp;L / Cash / BS / Summary recalculate อัตโนมัติ</t>
        </is>
      </c>
    </row>
    <row r="4" ht="28" customHeight="1">
      <c r="A4" s="3" t="inlineStr">
        <is>
          <t>รายการ (รายได้)</t>
        </is>
      </c>
      <c r="B4" s="3" t="inlineStr">
        <is>
          <t>ค่า</t>
        </is>
      </c>
      <c r="C4" s="3" t="inlineStr">
        <is>
          <t>หมายเหตุ</t>
        </is>
      </c>
    </row>
    <row r="5">
      <c r="A5" s="4" t="inlineStr">
        <is>
          <t>Starter tier — ราคา/เดือน (THB)</t>
        </is>
      </c>
      <c r="B5" s="5" t="n">
        <v>6500</v>
      </c>
      <c r="C5" s="6" t="inlineStr">
        <is>
          <t>≤100 นิสิต</t>
        </is>
      </c>
    </row>
    <row r="6">
      <c r="A6" s="4" t="inlineStr">
        <is>
          <t>Pro tier — ราคา/เดือน (THB)</t>
        </is>
      </c>
      <c r="B6" s="5" t="n">
        <v>15000</v>
      </c>
      <c r="C6" s="6" t="inlineStr">
        <is>
          <t>100-300 นิสิต</t>
        </is>
      </c>
    </row>
    <row r="7">
      <c r="A7" s="4" t="inlineStr">
        <is>
          <t>Enterprise tier — ราคา/เดือน (THB)</t>
        </is>
      </c>
      <c r="B7" s="5" t="n">
        <v>32500</v>
      </c>
      <c r="C7" s="6" t="inlineStr">
        <is>
          <t>&gt;300 นิสิต</t>
        </is>
      </c>
    </row>
    <row r="8">
      <c r="A8" s="4" t="inlineStr">
        <is>
          <t>สัดส่วน Starter</t>
        </is>
      </c>
      <c r="B8" s="7" t="n">
        <v>0.6</v>
      </c>
      <c r="C8" s="6" t="inlineStr"/>
    </row>
    <row r="9">
      <c r="A9" s="4" t="inlineStr">
        <is>
          <t>สัดส่วน Pro</t>
        </is>
      </c>
      <c r="B9" s="7" t="n">
        <v>0.3</v>
      </c>
      <c r="C9" s="6" t="inlineStr"/>
    </row>
    <row r="10">
      <c r="A10" s="4" t="inlineStr">
        <is>
          <t>สัดส่วน Enterprise</t>
        </is>
      </c>
      <c r="B10" s="7" t="n">
        <v>0.1</v>
      </c>
      <c r="C10" s="6" t="inlineStr"/>
    </row>
    <row r="11">
      <c r="A11" s="4" t="inlineStr">
        <is>
          <t>Setup fee ต่อ tenant (THB)</t>
        </is>
      </c>
      <c r="B11" s="5" t="n">
        <v>25000</v>
      </c>
      <c r="C11" s="6" t="inlineStr">
        <is>
          <t>ครั้งเดียว</t>
        </is>
      </c>
    </row>
    <row r="12">
      <c r="A12" s="8" t="inlineStr">
        <is>
          <t>ค่าเฉลี่ยถ่วงน้ำหนัก/tenant/mo</t>
        </is>
      </c>
      <c r="B12" s="9">
        <f>Assumptions!$B$5*Assumptions!$B$8+Assumptions!$B$6*Assumptions!$B$9+Assumptions!$B$7*Assumptions!$B$10</f>
        <v/>
      </c>
      <c r="C12" s="10" t="inlineStr">
        <is>
          <t>auto</t>
        </is>
      </c>
    </row>
    <row r="14" ht="28" customHeight="1">
      <c r="A14" s="3" t="inlineStr">
        <is>
          <t>รายการ (ต้นทุน)</t>
        </is>
      </c>
      <c r="B14" s="3" t="inlineStr">
        <is>
          <t>ค่า</t>
        </is>
      </c>
      <c r="C14" s="3" t="inlineStr">
        <is>
          <t>หมายเหตุ</t>
        </is>
      </c>
    </row>
    <row r="15">
      <c r="A15" s="4" t="inlineStr">
        <is>
          <t>Claude Opus input — ฿/tenant/mo</t>
        </is>
      </c>
      <c r="B15" s="5" t="n">
        <v>1050</v>
      </c>
      <c r="C15" s="6" t="inlineStr">
        <is>
          <t>$5/Mtok × 6M</t>
        </is>
      </c>
    </row>
    <row r="16">
      <c r="A16" s="4" t="inlineStr">
        <is>
          <t>Claude Opus output — ฿/tenant/mo</t>
        </is>
      </c>
      <c r="B16" s="5" t="n">
        <v>1313</v>
      </c>
      <c r="C16" s="6" t="inlineStr">
        <is>
          <t>$25/Mtok × 1.5M</t>
        </is>
      </c>
    </row>
    <row r="17">
      <c r="A17" s="4" t="inlineStr">
        <is>
          <t>Cohere Rerank — ฿/tenant/mo</t>
        </is>
      </c>
      <c r="B17" s="5" t="n">
        <v>210</v>
      </c>
      <c r="C17" s="6" t="inlineStr"/>
    </row>
    <row r="18">
      <c r="A18" s="4" t="inlineStr">
        <is>
          <t>Cohere Embed — ฿/tenant/mo</t>
        </is>
      </c>
      <c r="B18" s="5" t="n">
        <v>0.42</v>
      </c>
      <c r="C18" s="6" t="inlineStr"/>
    </row>
    <row r="19">
      <c r="A19" s="4" t="inlineStr">
        <is>
          <t>Pinecone read — ฿/tenant/mo</t>
        </is>
      </c>
      <c r="B19" s="5" t="n">
        <v>8</v>
      </c>
      <c r="C19" s="6" t="inlineStr"/>
    </row>
    <row r="20">
      <c r="A20" s="4" t="inlineStr">
        <is>
          <t>Pinecone Standard plan</t>
        </is>
      </c>
      <c r="B20" s="5" t="n">
        <v>1750</v>
      </c>
      <c r="C20" s="6" t="inlineStr">
        <is>
          <t>$50/mo</t>
        </is>
      </c>
    </row>
    <row r="21">
      <c r="A21" s="4" t="inlineStr">
        <is>
          <t>GCP Cloud Run</t>
        </is>
      </c>
      <c r="B21" s="5" t="n">
        <v>1050</v>
      </c>
      <c r="C21" s="6" t="inlineStr">
        <is>
          <t>$30/mo</t>
        </is>
      </c>
    </row>
    <row r="22">
      <c r="A22" s="4" t="inlineStr">
        <is>
          <t>GCP Firestore + CS</t>
        </is>
      </c>
      <c r="B22" s="5" t="n">
        <v>350</v>
      </c>
      <c r="C22" s="6" t="inlineStr"/>
    </row>
    <row r="23">
      <c r="A23" s="4" t="inlineStr">
        <is>
          <t>Domain + SSL + monitoring</t>
        </is>
      </c>
      <c r="B23" s="5" t="n">
        <v>350</v>
      </c>
      <c r="C23" s="6" t="inlineStr"/>
    </row>
    <row r="24">
      <c r="A24" s="4" t="inlineStr">
        <is>
          <t>Tech lead / คน/เดือน</t>
        </is>
      </c>
      <c r="B24" s="5" t="n">
        <v>80000</v>
      </c>
      <c r="C24" s="6" t="inlineStr"/>
    </row>
    <row r="25">
      <c r="A25" s="4" t="inlineStr">
        <is>
          <t>Customer/biz / คน/เดือน</t>
        </is>
      </c>
      <c r="B25" s="5" t="n">
        <v>40000</v>
      </c>
      <c r="C25" s="6" t="inlineStr"/>
    </row>
    <row r="26">
      <c r="A26" s="4" t="inlineStr">
        <is>
          <t>ต้นทุน onboard ใหม่ (ครั้งเดียว)</t>
        </is>
      </c>
      <c r="B26" s="5" t="n">
        <v>5000</v>
      </c>
      <c r="C26" s="6" t="inlineStr"/>
    </row>
    <row r="27">
      <c r="A27" s="8" t="inlineStr">
        <is>
          <t>รวมต้นทุนผันแปร/tenant/mo</t>
        </is>
      </c>
      <c r="B27" s="9">
        <f>Assumptions!$B$15+Assumptions!$B$16+Assumptions!$B$17+Assumptions!$B$18+Assumptions!$B$19</f>
        <v/>
      </c>
      <c r="C27" s="11" t="n"/>
    </row>
    <row r="28">
      <c r="A28" s="8" t="inlineStr">
        <is>
          <t>รวมต้นทุนคงที่ระบบ/mo</t>
        </is>
      </c>
      <c r="B28" s="9">
        <f>Assumptions!$B$20+Assumptions!$B$21+Assumptions!$B$22+Assumptions!$B$23</f>
        <v/>
      </c>
      <c r="C28" s="11" t="n"/>
    </row>
    <row r="29">
      <c r="A29" s="8" t="inlineStr">
        <is>
          <t>รวมเงินเดือนทีมเริ่มต้น/mo</t>
        </is>
      </c>
      <c r="B29" s="9">
        <f>Assumptions!$B$24+Assumptions!$B$25</f>
        <v/>
      </c>
      <c r="C29" s="11" t="n"/>
    </row>
    <row r="31" ht="28" customHeight="1">
      <c r="A31" s="3" t="inlineStr">
        <is>
          <t>รายการ (การเติบโต/ภาษี/เงินกู้/ปันผล)</t>
        </is>
      </c>
      <c r="B31" s="3" t="inlineStr">
        <is>
          <t>ค่า</t>
        </is>
      </c>
      <c r="C31" s="3" t="inlineStr">
        <is>
          <t>หมายเหตุ</t>
        </is>
      </c>
    </row>
    <row r="32">
      <c r="A32" s="4" t="inlineStr">
        <is>
          <t>Tenant ใหม่/mo ปีที่ 1</t>
        </is>
      </c>
      <c r="B32" s="12" t="n">
        <v>2</v>
      </c>
      <c r="C32" s="6" t="inlineStr"/>
    </row>
    <row r="33">
      <c r="A33" s="4" t="inlineStr">
        <is>
          <t>Tenant ใหม่/mo ปีที่ 2</t>
        </is>
      </c>
      <c r="B33" s="12" t="n">
        <v>2</v>
      </c>
      <c r="C33" s="6" t="inlineStr"/>
    </row>
    <row r="34">
      <c r="A34" s="4" t="inlineStr">
        <is>
          <t>Tenant ใหม่/mo ปีที่ 3</t>
        </is>
      </c>
      <c r="B34" s="12" t="n">
        <v>1</v>
      </c>
      <c r="C34" s="6" t="inlineStr"/>
    </row>
    <row r="35">
      <c r="A35" s="4" t="inlineStr">
        <is>
          <t>Tenant ใหม่/mo ปีที่ 4</t>
        </is>
      </c>
      <c r="B35" s="12" t="n">
        <v>1</v>
      </c>
      <c r="C35" s="6" t="inlineStr"/>
    </row>
    <row r="36">
      <c r="A36" s="4" t="inlineStr">
        <is>
          <t>Tenant ใหม่/mo ปีที่ 5</t>
        </is>
      </c>
      <c r="B36" s="12" t="n">
        <v>1</v>
      </c>
      <c r="C36" s="6" t="inlineStr"/>
    </row>
    <row r="37">
      <c r="A37" s="4" t="inlineStr">
        <is>
          <t>อัตราภาษีนิติบุคคล</t>
        </is>
      </c>
      <c r="B37" s="13" t="n">
        <v>0.2</v>
      </c>
      <c r="C37" s="6" t="inlineStr">
        <is>
          <t>CIT 20%</t>
        </is>
      </c>
    </row>
    <row r="38">
      <c r="A38" s="4" t="inlineStr">
        <is>
          <t>WACC (คิดลด NPV)</t>
        </is>
      </c>
      <c r="B38" s="13" t="n">
        <v>0.12</v>
      </c>
      <c r="C38" s="6" t="inlineStr">
        <is>
          <t>equity 67% × 15% + debt 33% × 4%</t>
        </is>
      </c>
    </row>
    <row r="39">
      <c r="A39" s="4" t="inlineStr">
        <is>
          <t>เงินทุนผู้ถือหุ้น (THB)</t>
        </is>
      </c>
      <c r="B39" s="5" t="n">
        <v>2000000</v>
      </c>
      <c r="C39" s="6" t="inlineStr">
        <is>
          <t>2,000 หุ้น × 1,000 × 4 คน</t>
        </is>
      </c>
    </row>
    <row r="40">
      <c r="A40" s="4" t="inlineStr">
        <is>
          <t>เงินกู้ระยะยาว (THB)</t>
        </is>
      </c>
      <c r="B40" s="5" t="n">
        <v>1000000</v>
      </c>
      <c r="C40" s="6" t="inlineStr">
        <is>
          <t>ภาครัฐ</t>
        </is>
      </c>
    </row>
    <row r="41">
      <c r="A41" s="4" t="inlineStr">
        <is>
          <t>อัตราดอกเบี้ยเงินกู้</t>
        </is>
      </c>
      <c r="B41" s="13" t="n">
        <v>0.05</v>
      </c>
      <c r="C41" s="6" t="inlineStr">
        <is>
          <t>5% ต่อปี</t>
        </is>
      </c>
    </row>
    <row r="42">
      <c r="A42" s="4" t="inlineStr">
        <is>
          <t>ระยะเวลาผ่อน (ปี)</t>
        </is>
      </c>
      <c r="B42" s="12" t="n">
        <v>5</v>
      </c>
      <c r="C42" s="6" t="inlineStr"/>
    </row>
    <row r="43">
      <c r="A43" s="4" t="inlineStr">
        <is>
          <t>นโยบายปันผล (ของกำไรสุทธิ)</t>
        </is>
      </c>
      <c r="B43" s="13" t="n">
        <v>0.3</v>
      </c>
      <c r="C43" s="6" t="inlineStr">
        <is>
          <t>30%</t>
        </is>
      </c>
    </row>
    <row r="44">
      <c r="A44" s="4" t="inlineStr">
        <is>
          <t>เริ่มจ่ายปันผล ปีที่</t>
        </is>
      </c>
      <c r="B44" s="12" t="n">
        <v>4</v>
      </c>
      <c r="C44" s="6" t="inlineStr"/>
    </row>
    <row r="45">
      <c r="A45" s="4" t="inlineStr">
        <is>
          <t>การลงทุนเริ่มต้นในสินทรัพย์ (THB)</t>
        </is>
      </c>
      <c r="B45" s="5" t="n">
        <v>530000</v>
      </c>
      <c r="C45" s="6" t="inlineStr">
        <is>
          <t>สินทรัพย์ + setup</t>
        </is>
      </c>
    </row>
    <row r="46">
      <c r="A46" s="4" t="inlineStr">
        <is>
          <t>ค่าเสื่อมราคา ปี 1-3 (THB/ปี)</t>
        </is>
      </c>
      <c r="B46" s="5" t="n">
        <v>136000</v>
      </c>
      <c r="C46" s="6" t="inlineStr">
        <is>
          <t>ซอฟต์แวร์+ตราสินค้า+อุปกรณ์</t>
        </is>
      </c>
    </row>
    <row r="47">
      <c r="A47" s="4" t="inlineStr">
        <is>
          <t>ค่าเสื่อมราคา ปี 4-5 (THB/ปี)</t>
        </is>
      </c>
      <c r="B47" s="5" t="n">
        <v>36000</v>
      </c>
      <c r="C47" s="6" t="inlineStr">
        <is>
          <t>ตราสินค้า+อุปกรณ์ (ซอฟต์แวร์หมด)</t>
        </is>
      </c>
    </row>
    <row r="48">
      <c r="A48" s="4" t="inlineStr">
        <is>
          <t>Marketing ปีที่ 1 (THB)</t>
        </is>
      </c>
      <c r="B48" s="5" t="n">
        <v>200000</v>
      </c>
      <c r="C48" s="6" t="inlineStr"/>
    </row>
    <row r="49">
      <c r="A49" s="4" t="inlineStr">
        <is>
          <t>Marketing ปีที่ 2 (THB)</t>
        </is>
      </c>
      <c r="B49" s="5" t="n">
        <v>400000</v>
      </c>
      <c r="C49" s="6" t="inlineStr"/>
    </row>
    <row r="50">
      <c r="A50" s="4" t="inlineStr">
        <is>
          <t>Marketing ปีที่ 3 (THB)</t>
        </is>
      </c>
      <c r="B50" s="5" t="n">
        <v>500000</v>
      </c>
      <c r="C50" s="6" t="inlineStr"/>
    </row>
    <row r="51">
      <c r="A51" s="4" t="inlineStr">
        <is>
          <t>Marketing ปีที่ 4 (THB)</t>
        </is>
      </c>
      <c r="B51" s="5" t="n">
        <v>600000</v>
      </c>
      <c r="C51" s="6" t="inlineStr"/>
    </row>
    <row r="52">
      <c r="A52" s="4" t="inlineStr">
        <is>
          <t>Marketing ปีที่ 5 (THB)</t>
        </is>
      </c>
      <c r="B52" s="5" t="n">
        <v>700000</v>
      </c>
      <c r="C52" s="6" t="inlineStr"/>
    </row>
    <row r="53">
      <c r="A53" s="4" t="inlineStr">
        <is>
          <t>ค่าใช้จ่ายอื่น Y1 (THB)</t>
        </is>
      </c>
      <c r="B53" s="5" t="n">
        <v>120000</v>
      </c>
      <c r="C53" s="6" t="inlineStr">
        <is>
          <t>office, admin, travel</t>
        </is>
      </c>
    </row>
    <row r="54">
      <c r="A54" s="4" t="inlineStr">
        <is>
          <t>ค่าใช้จ่ายอื่น Y2 (THB)</t>
        </is>
      </c>
      <c r="B54" s="5" t="n">
        <v>150000</v>
      </c>
      <c r="C54" s="6" t="inlineStr"/>
    </row>
    <row r="55">
      <c r="A55" s="4" t="inlineStr">
        <is>
          <t>ค่าใช้จ่ายอื่น Y3 (THB)</t>
        </is>
      </c>
      <c r="B55" s="5" t="n">
        <v>180000</v>
      </c>
      <c r="C55" s="6" t="inlineStr"/>
    </row>
    <row r="56">
      <c r="A56" s="4" t="inlineStr">
        <is>
          <t>ค่าใช้จ่ายอื่น Y4 (THB)</t>
        </is>
      </c>
      <c r="B56" s="5" t="n">
        <v>222000</v>
      </c>
      <c r="C56" s="6" t="inlineStr"/>
    </row>
    <row r="57">
      <c r="A57" s="4" t="inlineStr">
        <is>
          <t>ค่าใช้จ่ายอื่น Y5 (THB)</t>
        </is>
      </c>
      <c r="B57" s="5" t="n">
        <v>276000</v>
      </c>
      <c r="C57" s="6" t="inlineStr"/>
    </row>
    <row r="58">
      <c r="A58" s="4" t="inlineStr">
        <is>
          <t>ตัวคูณเงินเดือน Y2</t>
        </is>
      </c>
      <c r="B58" s="13" t="n">
        <v>1.25</v>
      </c>
      <c r="C58" s="6" t="inlineStr"/>
    </row>
    <row r="59">
      <c r="A59" s="4" t="inlineStr">
        <is>
          <t>ตัวคูณเงินเดือน Y3</t>
        </is>
      </c>
      <c r="B59" s="13" t="n">
        <v>2.083</v>
      </c>
      <c r="C59" s="6" t="inlineStr"/>
    </row>
    <row r="60">
      <c r="A60" s="4" t="inlineStr">
        <is>
          <t>ตัวคูณเงินเดือน Y4</t>
        </is>
      </c>
      <c r="B60" s="13" t="n">
        <v>2.75</v>
      </c>
      <c r="C60" s="6" t="inlineStr"/>
    </row>
    <row r="61">
      <c r="A61" s="4" t="inlineStr">
        <is>
          <t>ตัวคูณเงินเดือน Y5</t>
        </is>
      </c>
      <c r="B61" s="13" t="n">
        <v>3.792</v>
      </c>
      <c r="C61" s="6" t="inlineStr"/>
    </row>
    <row r="62">
      <c r="A62" s="4" t="inlineStr">
        <is>
          <t>WC change Y1 (THB)</t>
        </is>
      </c>
      <c r="B62" s="5" t="n">
        <v>-100000</v>
      </c>
      <c r="C62" s="6" t="inlineStr">
        <is>
          <t>ติดลบ=WC เพิ่ม</t>
        </is>
      </c>
    </row>
    <row r="63">
      <c r="A63" s="4" t="inlineStr">
        <is>
          <t>WC change Y2 (THB)</t>
        </is>
      </c>
      <c r="B63" s="5" t="n">
        <v>-150000</v>
      </c>
      <c r="C63" s="6" t="inlineStr"/>
    </row>
    <row r="64">
      <c r="A64" s="4" t="inlineStr">
        <is>
          <t>WC change Y3 (THB)</t>
        </is>
      </c>
      <c r="B64" s="5" t="n">
        <v>-120000</v>
      </c>
      <c r="C64" s="6" t="inlineStr"/>
    </row>
    <row r="65">
      <c r="A65" s="4" t="inlineStr">
        <is>
          <t>WC change Y4 (THB)</t>
        </is>
      </c>
      <c r="B65" s="5" t="n">
        <v>-100000</v>
      </c>
      <c r="C65" s="6" t="inlineStr"/>
    </row>
    <row r="66">
      <c r="A66" s="4" t="inlineStr">
        <is>
          <t>WC change Y5 (THB)</t>
        </is>
      </c>
      <c r="B66" s="5" t="n">
        <v>-100000</v>
      </c>
      <c r="C66" s="6" t="inlineStr"/>
    </row>
    <row r="67">
      <c r="A67" s="4" t="inlineStr">
        <is>
          <t>CapEx Y1 (THB)</t>
        </is>
      </c>
      <c r="B67" s="5" t="n">
        <v>-50000</v>
      </c>
      <c r="C67" s="6" t="inlineStr">
        <is>
          <t>ติดลบ=จ่าย</t>
        </is>
      </c>
    </row>
    <row r="68">
      <c r="A68" s="4" t="inlineStr">
        <is>
          <t>CapEx Y2 (THB)</t>
        </is>
      </c>
      <c r="B68" s="5" t="n">
        <v>-80000</v>
      </c>
      <c r="C68" s="6" t="inlineStr"/>
    </row>
    <row r="69">
      <c r="A69" s="4" t="inlineStr">
        <is>
          <t>CapEx Y3 (THB)</t>
        </is>
      </c>
      <c r="B69" s="5" t="n">
        <v>-100000</v>
      </c>
      <c r="C69" s="6" t="inlineStr"/>
    </row>
    <row r="70">
      <c r="A70" s="4" t="inlineStr">
        <is>
          <t>CapEx Y4 (THB)</t>
        </is>
      </c>
      <c r="B70" s="5" t="n">
        <v>-50000</v>
      </c>
      <c r="C70" s="6" t="inlineStr"/>
    </row>
    <row r="71">
      <c r="A71" s="4" t="inlineStr">
        <is>
          <t>CapEx Y5 (THB)</t>
        </is>
      </c>
      <c r="B71" s="5" t="n">
        <v>-50000</v>
      </c>
      <c r="C71" s="6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Loan Amortization — 5 ปี</t>
        </is>
      </c>
    </row>
    <row r="3" ht="28" customHeight="1">
      <c r="A3" s="3" t="inlineStr">
        <is>
          <t>ปี</t>
        </is>
      </c>
      <c r="B3" s="3" t="inlineStr">
        <is>
          <t>เงินต้นคงค้างต้นปี</t>
        </is>
      </c>
      <c r="C3" s="3" t="inlineStr">
        <is>
          <t>ดอกเบี้ย</t>
        </is>
      </c>
      <c r="D3" s="3" t="inlineStr">
        <is>
          <t>เงินต้นที่ชำระ</t>
        </is>
      </c>
      <c r="E3" s="3" t="inlineStr">
        <is>
          <t>ชำระรวมรายปี</t>
        </is>
      </c>
      <c r="F3" s="3" t="inlineStr">
        <is>
          <t>เงินต้นคงค้างสิ้นปี</t>
        </is>
      </c>
    </row>
    <row r="4">
      <c r="A4" s="14" t="n">
        <v>1</v>
      </c>
      <c r="B4" s="15">
        <f>Assumptions!$B$40</f>
        <v/>
      </c>
      <c r="C4" s="15">
        <f>B4*Assumptions!$B$41</f>
        <v/>
      </c>
      <c r="D4" s="15">
        <f>E4-C4</f>
        <v/>
      </c>
      <c r="E4" s="15">
        <f>-PMT(Assumptions!$B$41,Assumptions!$B$42,Assumptions!$B$40)</f>
        <v/>
      </c>
      <c r="F4" s="16">
        <f>B4-D4</f>
        <v/>
      </c>
    </row>
    <row r="5">
      <c r="A5" s="14" t="n">
        <v>2</v>
      </c>
      <c r="B5" s="15">
        <f>F4</f>
        <v/>
      </c>
      <c r="C5" s="15">
        <f>B5*Assumptions!$B$41</f>
        <v/>
      </c>
      <c r="D5" s="15">
        <f>E5-C5</f>
        <v/>
      </c>
      <c r="E5" s="15">
        <f>-PMT(Assumptions!$B$41,Assumptions!$B$42,Assumptions!$B$40)</f>
        <v/>
      </c>
      <c r="F5" s="16">
        <f>B5-D5</f>
        <v/>
      </c>
    </row>
    <row r="6">
      <c r="A6" s="14" t="n">
        <v>3</v>
      </c>
      <c r="B6" s="15">
        <f>F5</f>
        <v/>
      </c>
      <c r="C6" s="15">
        <f>B6*Assumptions!$B$41</f>
        <v/>
      </c>
      <c r="D6" s="15">
        <f>E6-C6</f>
        <v/>
      </c>
      <c r="E6" s="15">
        <f>-PMT(Assumptions!$B$41,Assumptions!$B$42,Assumptions!$B$40)</f>
        <v/>
      </c>
      <c r="F6" s="16">
        <f>B6-D6</f>
        <v/>
      </c>
    </row>
    <row r="7">
      <c r="A7" s="14" t="n">
        <v>4</v>
      </c>
      <c r="B7" s="15">
        <f>F6</f>
        <v/>
      </c>
      <c r="C7" s="15">
        <f>B7*Assumptions!$B$41</f>
        <v/>
      </c>
      <c r="D7" s="15">
        <f>E7-C7</f>
        <v/>
      </c>
      <c r="E7" s="15">
        <f>-PMT(Assumptions!$B$41,Assumptions!$B$42,Assumptions!$B$40)</f>
        <v/>
      </c>
      <c r="F7" s="16">
        <f>B7-D7</f>
        <v/>
      </c>
    </row>
    <row r="8">
      <c r="A8" s="14" t="n">
        <v>5</v>
      </c>
      <c r="B8" s="15">
        <f>F7</f>
        <v/>
      </c>
      <c r="C8" s="15">
        <f>B8*Assumptions!$B$41</f>
        <v/>
      </c>
      <c r="D8" s="15">
        <f>E8-C8</f>
        <v/>
      </c>
      <c r="E8" s="15">
        <f>-PMT(Assumptions!$B$41,Assumptions!$B$42,Assumptions!$B$40)</f>
        <v/>
      </c>
      <c r="F8" s="16">
        <f>B8-D8</f>
        <v/>
      </c>
    </row>
    <row r="9">
      <c r="A9" s="17" t="inlineStr">
        <is>
          <t>รวม</t>
        </is>
      </c>
      <c r="C9" s="18">
        <f>SUM(C4:C8)</f>
        <v/>
      </c>
      <c r="D9" s="18">
        <f>SUM(D4:D8)</f>
        <v/>
      </c>
      <c r="E9" s="18">
        <f>SUM(E4:E8)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5" customWidth="1" min="3" max="3"/>
    <col width="12" customWidth="1" min="4" max="4"/>
    <col width="18" customWidth="1" min="5" max="5"/>
  </cols>
  <sheetData>
    <row r="1">
      <c r="A1" s="1" t="inlineStr">
        <is>
          <t>สินทรัพย์ที่ใช้ในการประกอบธุรกิจ</t>
        </is>
      </c>
    </row>
    <row r="3" ht="28" customHeight="1">
      <c r="A3" s="3" t="inlineStr">
        <is>
          <t>รายการ</t>
        </is>
      </c>
      <c r="B3" s="3" t="inlineStr">
        <is>
          <t>รายละเอียด</t>
        </is>
      </c>
      <c r="C3" s="3" t="inlineStr">
        <is>
          <t>มูลค่า (THB)</t>
        </is>
      </c>
      <c r="D3" s="3" t="inlineStr">
        <is>
          <t>อายุ (ปี)</t>
        </is>
      </c>
      <c r="E3" s="3" t="inlineStr">
        <is>
          <t>ค่าเสื่อม/ปี</t>
        </is>
      </c>
    </row>
    <row r="4">
      <c r="A4" s="4" t="inlineStr">
        <is>
          <t>ซอฟต์แวร์ระบบ VIRIYA</t>
        </is>
      </c>
      <c r="B4" s="19" t="inlineStr">
        <is>
          <t>chat-api + ingest + admin + portal</t>
        </is>
      </c>
      <c r="C4" s="15" t="n">
        <v>300000</v>
      </c>
      <c r="D4" s="20" t="n">
        <v>3</v>
      </c>
      <c r="E4" s="15">
        <f>C4/D4</f>
        <v/>
      </c>
    </row>
    <row r="5">
      <c r="A5" s="4" t="inlineStr">
        <is>
          <t>ตราสินค้า VIRIYA</t>
        </is>
      </c>
      <c r="B5" s="19" t="inlineStr">
        <is>
          <t>logo + CI + trademark</t>
        </is>
      </c>
      <c r="C5" s="15" t="n">
        <v>30000</v>
      </c>
      <c r="D5" s="20" t="n">
        <v>5</v>
      </c>
      <c r="E5" s="15">
        <f>C5/D5</f>
        <v/>
      </c>
    </row>
    <row r="6">
      <c r="A6" s="4" t="inlineStr">
        <is>
          <t>Domain + SSL</t>
        </is>
      </c>
      <c r="B6" s="19" t="inlineStr">
        <is>
          <t>รายจ่ายต่อเนื่อง (OpEx)</t>
        </is>
      </c>
      <c r="C6" s="15" t="n">
        <v>5000</v>
      </c>
      <c r="D6" s="21" t="inlineStr">
        <is>
          <t>—</t>
        </is>
      </c>
      <c r="E6" s="22" t="n">
        <v>0</v>
      </c>
    </row>
    <row r="7">
      <c r="A7" s="4" t="inlineStr">
        <is>
          <t>อุปกรณ์สำนักงาน</t>
        </is>
      </c>
      <c r="B7" s="19" t="inlineStr">
        <is>
          <t>คอม + จอ + อุปกรณ์</t>
        </is>
      </c>
      <c r="C7" s="15" t="n">
        <v>150000</v>
      </c>
      <c r="D7" s="20" t="n">
        <v>5</v>
      </c>
      <c r="E7" s="15">
        <f>C7/D7</f>
        <v/>
      </c>
    </row>
    <row r="8">
      <c r="A8" s="23" t="inlineStr">
        <is>
          <t>รวม</t>
        </is>
      </c>
      <c r="B8" s="24" t="n"/>
      <c r="C8" s="18">
        <f>SUM(C4:C7)</f>
        <v/>
      </c>
      <c r="D8" s="24" t="n"/>
      <c r="E8" s="18">
        <f>SUM(E4:E7)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ค่าใช้จ่ายในการขายและการบริหาร (SG&amp;A) 5 ปี</t>
        </is>
      </c>
    </row>
    <row r="3" ht="28" customHeight="1">
      <c r="A3" s="3" t="inlineStr">
        <is>
          <t>รายการ</t>
        </is>
      </c>
      <c r="B3" s="3" t="inlineStr">
        <is>
          <t>ปีที่ 1</t>
        </is>
      </c>
      <c r="C3" s="3" t="inlineStr">
        <is>
          <t>ปีที่ 2</t>
        </is>
      </c>
      <c r="D3" s="3" t="inlineStr">
        <is>
          <t>ปีที่ 3</t>
        </is>
      </c>
      <c r="E3" s="3" t="inlineStr">
        <is>
          <t>ปีที่ 4</t>
        </is>
      </c>
      <c r="F3" s="3" t="inlineStr">
        <is>
          <t>ปีที่ 5</t>
        </is>
      </c>
    </row>
    <row r="4">
      <c r="A4" s="25" t="inlineStr">
        <is>
          <t>ค่าใช้จ่ายในการขาย (Selling)</t>
        </is>
      </c>
      <c r="B4" s="26" t="n"/>
      <c r="C4" s="26" t="n"/>
      <c r="D4" s="26" t="n"/>
      <c r="E4" s="26" t="n"/>
      <c r="F4" s="26" t="n"/>
    </row>
    <row r="5">
      <c r="A5" s="4" t="inlineStr">
        <is>
          <t xml:space="preserve">  ค่าโฆษณาออนไลน์</t>
        </is>
      </c>
      <c r="B5" s="15">
        <f>Assumptions!$B$48*0.4</f>
        <v/>
      </c>
      <c r="C5" s="15">
        <f>Assumptions!$B$49*0.4</f>
        <v/>
      </c>
      <c r="D5" s="15">
        <f>Assumptions!$B$50*0.4</f>
        <v/>
      </c>
      <c r="E5" s="15">
        <f>Assumptions!$B$51*0.4</f>
        <v/>
      </c>
      <c r="F5" s="15">
        <f>Assumptions!$B$52*0.4</f>
        <v/>
      </c>
    </row>
    <row r="6">
      <c r="A6" s="4" t="inlineStr">
        <is>
          <t xml:space="preserve">  กิจกรรมการขายและสาธิต</t>
        </is>
      </c>
      <c r="B6" s="15">
        <f>Assumptions!$B$48*0.3</f>
        <v/>
      </c>
      <c r="C6" s="15">
        <f>Assumptions!$B$49*0.3</f>
        <v/>
      </c>
      <c r="D6" s="15">
        <f>Assumptions!$B$50*0.3</f>
        <v/>
      </c>
      <c r="E6" s="15">
        <f>Assumptions!$B$51*0.3</f>
        <v/>
      </c>
      <c r="F6" s="15">
        <f>Assumptions!$B$52*0.3</f>
        <v/>
      </c>
    </row>
    <row r="7">
      <c r="A7" s="4" t="inlineStr">
        <is>
          <t xml:space="preserve">  เนื้อหาการตลาด</t>
        </is>
      </c>
      <c r="B7" s="15">
        <f>Assumptions!$B$48*0.3</f>
        <v/>
      </c>
      <c r="C7" s="15">
        <f>Assumptions!$B$49*0.3</f>
        <v/>
      </c>
      <c r="D7" s="15">
        <f>Assumptions!$B$50*0.3</f>
        <v/>
      </c>
      <c r="E7" s="15">
        <f>Assumptions!$B$51*0.3</f>
        <v/>
      </c>
      <c r="F7" s="15">
        <f>Assumptions!$B$52*0.3</f>
        <v/>
      </c>
    </row>
    <row r="8">
      <c r="A8" s="25" t="inlineStr">
        <is>
          <t>รวมค่าใช้จ่ายในการขาย</t>
        </is>
      </c>
      <c r="B8" s="9">
        <f>SUM(B5:B7)</f>
        <v/>
      </c>
      <c r="C8" s="9">
        <f>SUM(C5:C7)</f>
        <v/>
      </c>
      <c r="D8" s="9">
        <f>SUM(D5:D7)</f>
        <v/>
      </c>
      <c r="E8" s="9">
        <f>SUM(E5:E7)</f>
        <v/>
      </c>
      <c r="F8" s="9">
        <f>SUM(F5:F7)</f>
        <v/>
      </c>
    </row>
    <row r="10">
      <c r="A10" s="25" t="inlineStr">
        <is>
          <t>ค่าใช้จ่ายในการบริหาร (G&amp;A)</t>
        </is>
      </c>
      <c r="B10" s="26" t="n"/>
      <c r="C10" s="26" t="n"/>
      <c r="D10" s="26" t="n"/>
      <c r="E10" s="26" t="n"/>
      <c r="F10" s="26" t="n"/>
    </row>
    <row r="11">
      <c r="A11" s="4" t="inlineStr">
        <is>
          <t xml:space="preserve">  ค่าแรงบุคลากร</t>
        </is>
      </c>
      <c r="B11" s="15">
        <f>Assumptions!$B$29*12</f>
        <v/>
      </c>
      <c r="C11" s="15">
        <f>Assumptions!$B$29*12*Assumptions!$B$58</f>
        <v/>
      </c>
      <c r="D11" s="15">
        <f>Assumptions!$B$29*12*Assumptions!$B$59</f>
        <v/>
      </c>
      <c r="E11" s="15">
        <f>Assumptions!$B$29*12*Assumptions!$B$60</f>
        <v/>
      </c>
      <c r="F11" s="15">
        <f>Assumptions!$B$29*12*Assumptions!$B$61</f>
        <v/>
      </c>
    </row>
    <row r="12">
      <c r="A12" s="4" t="inlineStr">
        <is>
          <t xml:space="preserve">  ค่าเช่า + ค่าเดินทาง + สาธารณูปโภค + บัญชี/กฎหมาย</t>
        </is>
      </c>
      <c r="B12" s="15">
        <f>Assumptions!$B$53</f>
        <v/>
      </c>
      <c r="C12" s="15">
        <f>Assumptions!$B$54</f>
        <v/>
      </c>
      <c r="D12" s="15">
        <f>Assumptions!$B$55</f>
        <v/>
      </c>
      <c r="E12" s="15">
        <f>Assumptions!$B$56</f>
        <v/>
      </c>
      <c r="F12" s="15">
        <f>Assumptions!$B$57</f>
        <v/>
      </c>
    </row>
    <row r="13">
      <c r="A13" s="25" t="inlineStr">
        <is>
          <t>รวมค่าใช้จ่ายในการบริหาร</t>
        </is>
      </c>
      <c r="B13" s="9">
        <f>SUM(B11:B12)</f>
        <v/>
      </c>
      <c r="C13" s="9">
        <f>SUM(C11:C12)</f>
        <v/>
      </c>
      <c r="D13" s="9">
        <f>SUM(D11:D12)</f>
        <v/>
      </c>
      <c r="E13" s="9">
        <f>SUM(E11:E12)</f>
        <v/>
      </c>
      <c r="F13" s="9">
        <f>SUM(F11:F12)</f>
        <v/>
      </c>
    </row>
    <row r="15">
      <c r="A15" s="27" t="inlineStr">
        <is>
          <t>รวม SG&amp;A</t>
        </is>
      </c>
      <c r="B15" s="18">
        <f>B8+B13</f>
        <v/>
      </c>
      <c r="C15" s="18">
        <f>C8+C13</f>
        <v/>
      </c>
      <c r="D15" s="18">
        <f>D8+D13</f>
        <v/>
      </c>
      <c r="E15" s="18">
        <f>E8+E13</f>
        <v/>
      </c>
      <c r="F15" s="18">
        <f>F8+F13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งบกำไรขาดทุน 5 ปี</t>
        </is>
      </c>
    </row>
    <row r="3" ht="28" customHeight="1">
      <c r="A3" s="3" t="inlineStr">
        <is>
          <t>รายการ</t>
        </is>
      </c>
      <c r="B3" s="3" t="inlineStr">
        <is>
          <t>ปีที่ 1</t>
        </is>
      </c>
      <c r="C3" s="3" t="inlineStr">
        <is>
          <t>ปีที่ 2</t>
        </is>
      </c>
      <c r="D3" s="3" t="inlineStr">
        <is>
          <t>ปีที่ 3</t>
        </is>
      </c>
      <c r="E3" s="3" t="inlineStr">
        <is>
          <t>ปีที่ 4</t>
        </is>
      </c>
      <c r="F3" s="3" t="inlineStr">
        <is>
          <t>ปีที่ 5</t>
        </is>
      </c>
    </row>
    <row r="4">
      <c r="A4" s="8" t="inlineStr">
        <is>
          <t>Tenant ณ สิ้นปี</t>
        </is>
      </c>
      <c r="B4" s="28">
        <f>Assumptions!$B$32*12</f>
        <v/>
      </c>
      <c r="C4" s="28">
        <f>B4+Assumptions!$B$33*12</f>
        <v/>
      </c>
      <c r="D4" s="28">
        <f>C4+Assumptions!$B$34*12</f>
        <v/>
      </c>
      <c r="E4" s="28">
        <f>D4+Assumptions!$B$35*12</f>
        <v/>
      </c>
      <c r="F4" s="28">
        <f>E4+Assumptions!$B$36*12</f>
        <v/>
      </c>
    </row>
    <row r="5">
      <c r="A5" s="8" t="inlineStr">
        <is>
          <t>Tenant เฉลี่ย (start + growth×6.5)</t>
        </is>
      </c>
      <c r="B5" s="28">
        <f>0+Assumptions!$B$32*6.5</f>
        <v/>
      </c>
      <c r="C5" s="28">
        <f>B4+Assumptions!$B$33*6.5</f>
        <v/>
      </c>
      <c r="D5" s="28">
        <f>C4+Assumptions!$B$34*6.5</f>
        <v/>
      </c>
      <c r="E5" s="28">
        <f>D4+Assumptions!$B$35*6.5</f>
        <v/>
      </c>
      <c r="F5" s="28">
        <f>E4+Assumptions!$B$36*6.5</f>
        <v/>
      </c>
    </row>
    <row r="7">
      <c r="A7" s="25" t="inlineStr">
        <is>
          <t>รายได้</t>
        </is>
      </c>
      <c r="B7" s="26" t="n"/>
      <c r="C7" s="26" t="n"/>
      <c r="D7" s="26" t="n"/>
      <c r="E7" s="26" t="n"/>
      <c r="F7" s="26" t="n"/>
    </row>
    <row r="8">
      <c r="A8" s="4" t="inlineStr">
        <is>
          <t xml:space="preserve">  ค่าสมาชิก</t>
        </is>
      </c>
      <c r="B8" s="15">
        <f>B5*Assumptions!$B$12*12</f>
        <v/>
      </c>
      <c r="C8" s="15">
        <f>C5*Assumptions!$B$12*12</f>
        <v/>
      </c>
      <c r="D8" s="15">
        <f>D5*Assumptions!$B$12*12</f>
        <v/>
      </c>
      <c r="E8" s="15">
        <f>E5*Assumptions!$B$12*12</f>
        <v/>
      </c>
      <c r="F8" s="15">
        <f>F5*Assumptions!$B$12*12</f>
        <v/>
      </c>
    </row>
    <row r="9">
      <c r="A9" s="4" t="inlineStr">
        <is>
          <t xml:space="preserve">  Setup fee</t>
        </is>
      </c>
      <c r="B9" s="15">
        <f>Assumptions!$B$32*12*Assumptions!$B$11</f>
        <v/>
      </c>
      <c r="C9" s="15">
        <f>Assumptions!$B$33*12*Assumptions!$B$11</f>
        <v/>
      </c>
      <c r="D9" s="15">
        <f>Assumptions!$B$34*12*Assumptions!$B$11</f>
        <v/>
      </c>
      <c r="E9" s="15">
        <f>Assumptions!$B$35*12*Assumptions!$B$11</f>
        <v/>
      </c>
      <c r="F9" s="15">
        <f>Assumptions!$B$36*12*Assumptions!$B$11</f>
        <v/>
      </c>
    </row>
    <row r="10">
      <c r="A10" s="25" t="inlineStr">
        <is>
          <t>รวมรายได้</t>
        </is>
      </c>
      <c r="B10" s="9">
        <f>B8+B9</f>
        <v/>
      </c>
      <c r="C10" s="9">
        <f>C8+C9</f>
        <v/>
      </c>
      <c r="D10" s="9">
        <f>D8+D9</f>
        <v/>
      </c>
      <c r="E10" s="9">
        <f>E8+E9</f>
        <v/>
      </c>
      <c r="F10" s="9">
        <f>F8+F9</f>
        <v/>
      </c>
    </row>
    <row r="12">
      <c r="A12" s="25" t="inlineStr">
        <is>
          <t>ต้นทุนผันแปร</t>
        </is>
      </c>
      <c r="B12" s="26" t="n"/>
      <c r="C12" s="26" t="n"/>
      <c r="D12" s="26" t="n"/>
      <c r="E12" s="26" t="n"/>
      <c r="F12" s="26" t="n"/>
    </row>
    <row r="13">
      <c r="A13" s="4" t="inlineStr">
        <is>
          <t xml:space="preserve">  AI API + Pinecone</t>
        </is>
      </c>
      <c r="B13" s="15">
        <f>B5*Assumptions!$B$27*12</f>
        <v/>
      </c>
      <c r="C13" s="15">
        <f>C5*Assumptions!$B$27*12</f>
        <v/>
      </c>
      <c r="D13" s="15">
        <f>D5*Assumptions!$B$27*12</f>
        <v/>
      </c>
      <c r="E13" s="15">
        <f>E5*Assumptions!$B$27*12</f>
        <v/>
      </c>
      <c r="F13" s="15">
        <f>F5*Assumptions!$B$27*12</f>
        <v/>
      </c>
    </row>
    <row r="14">
      <c r="A14" s="4" t="inlineStr">
        <is>
          <t xml:space="preserve">  Onboard tenant ใหม่</t>
        </is>
      </c>
      <c r="B14" s="15">
        <f>Assumptions!$B$32*12*Assumptions!$B$26</f>
        <v/>
      </c>
      <c r="C14" s="15">
        <f>Assumptions!$B$33*12*Assumptions!$B$26</f>
        <v/>
      </c>
      <c r="D14" s="15">
        <f>Assumptions!$B$34*12*Assumptions!$B$26</f>
        <v/>
      </c>
      <c r="E14" s="15">
        <f>Assumptions!$B$35*12*Assumptions!$B$26</f>
        <v/>
      </c>
      <c r="F14" s="15">
        <f>Assumptions!$B$36*12*Assumptions!$B$26</f>
        <v/>
      </c>
    </row>
    <row r="15">
      <c r="A15" s="25" t="inlineStr">
        <is>
          <t>รวมต้นทุนผันแปร</t>
        </is>
      </c>
      <c r="B15" s="9">
        <f>B13+B14</f>
        <v/>
      </c>
      <c r="C15" s="9">
        <f>C13+C14</f>
        <v/>
      </c>
      <c r="D15" s="9">
        <f>D13+D14</f>
        <v/>
      </c>
      <c r="E15" s="9">
        <f>E13+E14</f>
        <v/>
      </c>
      <c r="F15" s="9">
        <f>F13+F14</f>
        <v/>
      </c>
    </row>
    <row r="17">
      <c r="A17" s="27" t="inlineStr">
        <is>
          <t>กำไรขั้นต้น (Gross Profit)</t>
        </is>
      </c>
      <c r="B17" s="18">
        <f>B10-B15</f>
        <v/>
      </c>
      <c r="C17" s="18">
        <f>C10-C15</f>
        <v/>
      </c>
      <c r="D17" s="18">
        <f>D10-D15</f>
        <v/>
      </c>
      <c r="E17" s="18">
        <f>E10-E15</f>
        <v/>
      </c>
      <c r="F17" s="18">
        <f>F10-F15</f>
        <v/>
      </c>
    </row>
    <row r="18">
      <c r="A18" s="4" t="inlineStr">
        <is>
          <t xml:space="preserve">  อัตรากำไรขั้นต้น (%)</t>
        </is>
      </c>
      <c r="B18" s="29">
        <f>B17/B10</f>
        <v/>
      </c>
      <c r="C18" s="29">
        <f>C17/C10</f>
        <v/>
      </c>
      <c r="D18" s="29">
        <f>D17/D10</f>
        <v/>
      </c>
      <c r="E18" s="29">
        <f>E17/E10</f>
        <v/>
      </c>
      <c r="F18" s="29">
        <f>F17/F10</f>
        <v/>
      </c>
    </row>
    <row r="20">
      <c r="A20" s="25" t="inlineStr">
        <is>
          <t>ค่าใช้จ่ายในการดำเนินงาน (SG&amp;A + infra)</t>
        </is>
      </c>
      <c r="B20" s="26" t="n"/>
      <c r="C20" s="26" t="n"/>
      <c r="D20" s="26" t="n"/>
      <c r="E20" s="26" t="n"/>
      <c r="F20" s="26" t="n"/>
    </row>
    <row r="21">
      <c r="A21" s="4" t="inlineStr">
        <is>
          <t xml:space="preserve">  SG&amp;A (link SG&amp;A sheet)</t>
        </is>
      </c>
      <c r="B21" s="15">
        <f>'SG&amp;A'!B15</f>
        <v/>
      </c>
      <c r="C21" s="15">
        <f>'SG&amp;A'!C15</f>
        <v/>
      </c>
      <c r="D21" s="15">
        <f>'SG&amp;A'!D15</f>
        <v/>
      </c>
      <c r="E21" s="15">
        <f>'SG&amp;A'!E15</f>
        <v/>
      </c>
      <c r="F21" s="15">
        <f>'SG&amp;A'!F15</f>
        <v/>
      </c>
    </row>
    <row r="22">
      <c r="A22" s="4" t="inlineStr">
        <is>
          <t xml:space="preserve">  โครงสร้างพื้นฐานระบบ</t>
        </is>
      </c>
      <c r="B22" s="15">
        <f>Assumptions!$B$28*12</f>
        <v/>
      </c>
      <c r="C22" s="15">
        <f>Assumptions!$B$28*12</f>
        <v/>
      </c>
      <c r="D22" s="15">
        <f>Assumptions!$B$28*12</f>
        <v/>
      </c>
      <c r="E22" s="15">
        <f>Assumptions!$B$28*12</f>
        <v/>
      </c>
      <c r="F22" s="15">
        <f>Assumptions!$B$28*12</f>
        <v/>
      </c>
    </row>
    <row r="23">
      <c r="A23" s="25" t="inlineStr">
        <is>
          <t>รวม OpEx</t>
        </is>
      </c>
      <c r="B23" s="9">
        <f>B21+B22</f>
        <v/>
      </c>
      <c r="C23" s="9">
        <f>C21+C22</f>
        <v/>
      </c>
      <c r="D23" s="9">
        <f>D21+D22</f>
        <v/>
      </c>
      <c r="E23" s="9">
        <f>E21+E22</f>
        <v/>
      </c>
      <c r="F23" s="9">
        <f>F21+F22</f>
        <v/>
      </c>
    </row>
    <row r="25">
      <c r="A25" s="27" t="inlineStr">
        <is>
          <t>EBITDA (Gross - OpEx)</t>
        </is>
      </c>
      <c r="B25" s="18">
        <f>B17-B23</f>
        <v/>
      </c>
      <c r="C25" s="18">
        <f>C17-C23</f>
        <v/>
      </c>
      <c r="D25" s="18">
        <f>D17-D23</f>
        <v/>
      </c>
      <c r="E25" s="18">
        <f>E17-E23</f>
        <v/>
      </c>
      <c r="F25" s="18">
        <f>F17-F23</f>
        <v/>
      </c>
    </row>
    <row r="26">
      <c r="A26" s="4" t="inlineStr">
        <is>
          <t>ค่าเสื่อมราคา</t>
        </is>
      </c>
      <c r="B26" s="15">
        <f>Assumptions!$B$46</f>
        <v/>
      </c>
      <c r="C26" s="15">
        <f>Assumptions!$B$46</f>
        <v/>
      </c>
      <c r="D26" s="15">
        <f>Assumptions!$B$46</f>
        <v/>
      </c>
      <c r="E26" s="15">
        <f>Assumptions!$B$47</f>
        <v/>
      </c>
      <c r="F26" s="15">
        <f>Assumptions!$B$47</f>
        <v/>
      </c>
    </row>
    <row r="27">
      <c r="A27" s="27" t="inlineStr">
        <is>
          <t>EBIT (EBITDA - Dep)</t>
        </is>
      </c>
      <c r="B27" s="18">
        <f>B25-B26</f>
        <v/>
      </c>
      <c r="C27" s="18">
        <f>C25-C26</f>
        <v/>
      </c>
      <c r="D27" s="18">
        <f>D25-D26</f>
        <v/>
      </c>
      <c r="E27" s="18">
        <f>E25-E26</f>
        <v/>
      </c>
      <c r="F27" s="18">
        <f>F25-F26</f>
        <v/>
      </c>
    </row>
    <row r="28">
      <c r="A28" s="4" t="inlineStr">
        <is>
          <t>ดอกเบี้ยจ่าย (จาก Loan sheet)</t>
        </is>
      </c>
      <c r="B28" s="15">
        <f>Loan!C4</f>
        <v/>
      </c>
      <c r="C28" s="15">
        <f>Loan!C5</f>
        <v/>
      </c>
      <c r="D28" s="15">
        <f>Loan!C6</f>
        <v/>
      </c>
      <c r="E28" s="15">
        <f>Loan!C7</f>
        <v/>
      </c>
      <c r="F28" s="15">
        <f>Loan!C8</f>
        <v/>
      </c>
    </row>
    <row r="29">
      <c r="A29" s="27" t="inlineStr">
        <is>
          <t>กำไรก่อนหักภาษี (EBT)</t>
        </is>
      </c>
      <c r="B29" s="18">
        <f>B27-B28</f>
        <v/>
      </c>
      <c r="C29" s="18">
        <f>C27-C28</f>
        <v/>
      </c>
      <c r="D29" s="18">
        <f>D27-D28</f>
        <v/>
      </c>
      <c r="E29" s="18">
        <f>E27-E28</f>
        <v/>
      </c>
      <c r="F29" s="18">
        <f>F27-F28</f>
        <v/>
      </c>
    </row>
    <row r="30">
      <c r="A30" s="4" t="inlineStr">
        <is>
          <t>ภาษีเงินได้ (20% ของ EBT ถ้า +)</t>
        </is>
      </c>
      <c r="B30" s="15">
        <f>MAX(0, B29*Assumptions!$B$37)</f>
        <v/>
      </c>
      <c r="C30" s="15">
        <f>MAX(0, C29*Assumptions!$B$37)</f>
        <v/>
      </c>
      <c r="D30" s="15">
        <f>MAX(0, D29*Assumptions!$B$37)</f>
        <v/>
      </c>
      <c r="E30" s="15">
        <f>MAX(0, E29*Assumptions!$B$37)</f>
        <v/>
      </c>
      <c r="F30" s="15">
        <f>MAX(0, F29*Assumptions!$B$37)</f>
        <v/>
      </c>
    </row>
    <row r="31">
      <c r="A31" s="27" t="inlineStr">
        <is>
          <t>กำไรสุทธิ (Net Profit)</t>
        </is>
      </c>
      <c r="B31" s="18">
        <f>B29-B30</f>
        <v/>
      </c>
      <c r="C31" s="18">
        <f>C29-C30</f>
        <v/>
      </c>
      <c r="D31" s="18">
        <f>D29-D30</f>
        <v/>
      </c>
      <c r="E31" s="18">
        <f>E29-E30</f>
        <v/>
      </c>
      <c r="F31" s="18">
        <f>F29-F30</f>
        <v/>
      </c>
    </row>
    <row r="32">
      <c r="A32" s="4" t="inlineStr">
        <is>
          <t xml:space="preserve">  อัตรากำไรสุทธิ (%)</t>
        </is>
      </c>
      <c r="B32" s="29">
        <f>B31/B10</f>
        <v/>
      </c>
      <c r="C32" s="29">
        <f>C31/C10</f>
        <v/>
      </c>
      <c r="D32" s="29">
        <f>D31/D10</f>
        <v/>
      </c>
      <c r="E32" s="29">
        <f>E31/E10</f>
        <v/>
      </c>
      <c r="F32" s="29">
        <f>F31/F10</f>
        <v/>
      </c>
    </row>
    <row r="34">
      <c r="A34" s="4" t="inlineStr">
        <is>
          <t>การจ่ายปันผล (30% จาก Y4)</t>
        </is>
      </c>
      <c r="B34" s="15">
        <f>IF(1&gt;=Assumptions!$B$44,MAX(0,B31*Assumptions!$B$43),0)</f>
        <v/>
      </c>
      <c r="C34" s="15">
        <f>IF(2&gt;=Assumptions!$B$44,MAX(0,C31*Assumptions!$B$43),0)</f>
        <v/>
      </c>
      <c r="D34" s="15">
        <f>IF(3&gt;=Assumptions!$B$44,MAX(0,D31*Assumptions!$B$43),0)</f>
        <v/>
      </c>
      <c r="E34" s="15">
        <f>IF(4&gt;=Assumptions!$B$44,MAX(0,E31*Assumptions!$B$43),0)</f>
        <v/>
      </c>
      <c r="F34" s="15">
        <f>IF(5&gt;=Assumptions!$B$44,MAX(0,F31*Assumptions!$B$43),0)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งบกระแสเงินสด 5 ปี</t>
        </is>
      </c>
    </row>
    <row r="3" ht="28" customHeight="1">
      <c r="A3" s="3" t="inlineStr">
        <is>
          <t>รายการ</t>
        </is>
      </c>
      <c r="B3" s="3" t="inlineStr">
        <is>
          <t>ปีที่ 0</t>
        </is>
      </c>
      <c r="C3" s="3" t="inlineStr">
        <is>
          <t>ปีที่ 1</t>
        </is>
      </c>
      <c r="D3" s="3" t="inlineStr">
        <is>
          <t>ปีที่ 2</t>
        </is>
      </c>
      <c r="E3" s="3" t="inlineStr">
        <is>
          <t>ปีที่ 3</t>
        </is>
      </c>
      <c r="F3" s="3" t="inlineStr">
        <is>
          <t>ปีที่ 4</t>
        </is>
      </c>
      <c r="G3" s="3" t="inlineStr">
        <is>
          <t>ปีที่ 5</t>
        </is>
      </c>
    </row>
    <row r="4">
      <c r="A4" s="25" t="inlineStr">
        <is>
          <t>กระแสเงินสดจากการดำเนินงาน</t>
        </is>
      </c>
      <c r="B4" s="26" t="n"/>
      <c r="C4" s="26" t="n"/>
      <c r="D4" s="26" t="n"/>
      <c r="E4" s="26" t="n"/>
      <c r="F4" s="26" t="n"/>
      <c r="G4" s="26" t="n"/>
    </row>
    <row r="5">
      <c r="A5" s="4" t="inlineStr">
        <is>
          <t xml:space="preserve">  กำไรสุทธิ</t>
        </is>
      </c>
      <c r="B5" s="15" t="n">
        <v>0</v>
      </c>
      <c r="C5" s="15">
        <f>'P&amp;L'!B31</f>
        <v/>
      </c>
      <c r="D5" s="15">
        <f>'P&amp;L'!C31</f>
        <v/>
      </c>
      <c r="E5" s="15">
        <f>'P&amp;L'!D31</f>
        <v/>
      </c>
      <c r="F5" s="15">
        <f>'P&amp;L'!E31</f>
        <v/>
      </c>
      <c r="G5" s="15">
        <f>'P&amp;L'!F31</f>
        <v/>
      </c>
    </row>
    <row r="6">
      <c r="A6" s="4" t="inlineStr">
        <is>
          <t xml:space="preserve">  บวก: ค่าเสื่อมราคา</t>
        </is>
      </c>
      <c r="B6" s="15" t="n">
        <v>0</v>
      </c>
      <c r="C6" s="15">
        <f>'P&amp;L'!B26</f>
        <v/>
      </c>
      <c r="D6" s="15">
        <f>'P&amp;L'!C26</f>
        <v/>
      </c>
      <c r="E6" s="15">
        <f>'P&amp;L'!D26</f>
        <v/>
      </c>
      <c r="F6" s="15">
        <f>'P&amp;L'!E26</f>
        <v/>
      </c>
      <c r="G6" s="15">
        <f>'P&amp;L'!F26</f>
        <v/>
      </c>
    </row>
    <row r="7">
      <c r="A7" s="4" t="inlineStr">
        <is>
          <t xml:space="preserve">  การเปลี่ยนแปลงทุนหมุนเวียน</t>
        </is>
      </c>
      <c r="B7" s="15" t="n">
        <v>0</v>
      </c>
      <c r="C7" s="15">
        <f>Assumptions!$B$62</f>
        <v/>
      </c>
      <c r="D7" s="15">
        <f>Assumptions!$B$63</f>
        <v/>
      </c>
      <c r="E7" s="15">
        <f>Assumptions!$B$64</f>
        <v/>
      </c>
      <c r="F7" s="15">
        <f>Assumptions!$B$65</f>
        <v/>
      </c>
      <c r="G7" s="15">
        <f>Assumptions!$B$66</f>
        <v/>
      </c>
    </row>
    <row r="8">
      <c r="A8" s="25" t="inlineStr">
        <is>
          <t>รวมกระแสเงินสดจากการดำเนินงาน</t>
        </is>
      </c>
      <c r="B8" s="9">
        <f>B5+B6+B7</f>
        <v/>
      </c>
      <c r="C8" s="9">
        <f>C5+C6+C7</f>
        <v/>
      </c>
      <c r="D8" s="9">
        <f>D5+D6+D7</f>
        <v/>
      </c>
      <c r="E8" s="9">
        <f>E5+E6+E7</f>
        <v/>
      </c>
      <c r="F8" s="9">
        <f>F5+F6+F7</f>
        <v/>
      </c>
      <c r="G8" s="9">
        <f>G5+G6+G7</f>
        <v/>
      </c>
    </row>
    <row r="10">
      <c r="A10" s="25" t="inlineStr">
        <is>
          <t>กระแสเงินสดจากการลงทุน</t>
        </is>
      </c>
      <c r="B10" s="26" t="n"/>
      <c r="C10" s="26" t="n"/>
      <c r="D10" s="26" t="n"/>
      <c r="E10" s="26" t="n"/>
      <c r="F10" s="26" t="n"/>
      <c r="G10" s="26" t="n"/>
    </row>
    <row r="11">
      <c r="A11" s="4" t="inlineStr">
        <is>
          <t xml:space="preserve">  การลงทุนเริ่มต้น (สินทรัพย์)</t>
        </is>
      </c>
      <c r="B11" s="15">
        <f>-Assumptions!$B$45</f>
        <v/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</row>
    <row r="12">
      <c r="A12" s="4" t="inlineStr">
        <is>
          <t xml:space="preserve">  CapEx เพิ่มเติม</t>
        </is>
      </c>
      <c r="B12" s="15" t="n">
        <v>0</v>
      </c>
      <c r="C12" s="15">
        <f>Assumptions!$B$67</f>
        <v/>
      </c>
      <c r="D12" s="15">
        <f>Assumptions!$B$68</f>
        <v/>
      </c>
      <c r="E12" s="15">
        <f>Assumptions!$B$69</f>
        <v/>
      </c>
      <c r="F12" s="15">
        <f>Assumptions!$B$70</f>
        <v/>
      </c>
      <c r="G12" s="15">
        <f>Assumptions!$B$71</f>
        <v/>
      </c>
    </row>
    <row r="13">
      <c r="A13" s="25" t="inlineStr">
        <is>
          <t>รวมกระแสเงินสดจากการลงทุน</t>
        </is>
      </c>
      <c r="B13" s="9">
        <f>B11+B12</f>
        <v/>
      </c>
      <c r="C13" s="9">
        <f>C11+C12</f>
        <v/>
      </c>
      <c r="D13" s="9">
        <f>D11+D12</f>
        <v/>
      </c>
      <c r="E13" s="9">
        <f>E11+E12</f>
        <v/>
      </c>
      <c r="F13" s="9">
        <f>F11+F12</f>
        <v/>
      </c>
      <c r="G13" s="9">
        <f>G11+G12</f>
        <v/>
      </c>
    </row>
    <row r="15">
      <c r="A15" s="25" t="inlineStr">
        <is>
          <t>กระแสเงินสดจากกิจกรรมทางการเงิน</t>
        </is>
      </c>
      <c r="B15" s="26" t="n"/>
      <c r="C15" s="26" t="n"/>
      <c r="D15" s="26" t="n"/>
      <c r="E15" s="26" t="n"/>
      <c r="F15" s="26" t="n"/>
      <c r="G15" s="26" t="n"/>
    </row>
    <row r="16">
      <c r="A16" s="4" t="inlineStr">
        <is>
          <t xml:space="preserve">  เงินทุนผู้ถือหุ้น</t>
        </is>
      </c>
      <c r="B16" s="15">
        <f>Assumptions!$B$39</f>
        <v/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</row>
    <row r="17">
      <c r="A17" s="4" t="inlineStr">
        <is>
          <t xml:space="preserve">  เงินกู้ระยะยาว (received)</t>
        </is>
      </c>
      <c r="B17" s="15">
        <f>Assumptions!$B$40</f>
        <v/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</row>
    <row r="18">
      <c r="A18" s="4" t="inlineStr">
        <is>
          <t xml:space="preserve">  การชำระเงินต้น</t>
        </is>
      </c>
      <c r="B18" s="15" t="n">
        <v>0</v>
      </c>
      <c r="C18" s="15">
        <f>-Loan!D4</f>
        <v/>
      </c>
      <c r="D18" s="15">
        <f>-Loan!D5</f>
        <v/>
      </c>
      <c r="E18" s="15">
        <f>-Loan!D6</f>
        <v/>
      </c>
      <c r="F18" s="15">
        <f>-Loan!D7</f>
        <v/>
      </c>
      <c r="G18" s="15">
        <f>-Loan!D8</f>
        <v/>
      </c>
    </row>
    <row r="19">
      <c r="A19" s="4" t="inlineStr">
        <is>
          <t xml:space="preserve">  การจ่ายปันผล</t>
        </is>
      </c>
      <c r="B19" s="15" t="n">
        <v>0</v>
      </c>
      <c r="C19" s="15">
        <f>-'P&amp;L'!B34</f>
        <v/>
      </c>
      <c r="D19" s="15">
        <f>-'P&amp;L'!C34</f>
        <v/>
      </c>
      <c r="E19" s="15">
        <f>-'P&amp;L'!D34</f>
        <v/>
      </c>
      <c r="F19" s="15">
        <f>-'P&amp;L'!E34</f>
        <v/>
      </c>
      <c r="G19" s="15">
        <f>-'P&amp;L'!F34</f>
        <v/>
      </c>
    </row>
    <row r="20">
      <c r="A20" s="25" t="inlineStr">
        <is>
          <t>รวมกระแสเงินสดจากกิจกรรมทางการเงิน</t>
        </is>
      </c>
      <c r="B20" s="9">
        <f>B16+B17+B18+B19</f>
        <v/>
      </c>
      <c r="C20" s="9">
        <f>C16+C17+C18+C19</f>
        <v/>
      </c>
      <c r="D20" s="9">
        <f>D16+D17+D18+D19</f>
        <v/>
      </c>
      <c r="E20" s="9">
        <f>E16+E17+E18+E19</f>
        <v/>
      </c>
      <c r="F20" s="9">
        <f>F16+F17+F18+F19</f>
        <v/>
      </c>
      <c r="G20" s="9">
        <f>G16+G17+G18+G19</f>
        <v/>
      </c>
    </row>
    <row r="22">
      <c r="A22" s="27" t="inlineStr">
        <is>
          <t>กระแสเงินสดสุทธิเปลี่ยนแปลง</t>
        </is>
      </c>
      <c r="B22" s="18">
        <f>B8+B13+B20</f>
        <v/>
      </c>
      <c r="C22" s="18">
        <f>C8+C13+C20</f>
        <v/>
      </c>
      <c r="D22" s="18">
        <f>D8+D13+D20</f>
        <v/>
      </c>
      <c r="E22" s="18">
        <f>E8+E13+E20</f>
        <v/>
      </c>
      <c r="F22" s="18">
        <f>F8+F13+F20</f>
        <v/>
      </c>
      <c r="G22" s="18">
        <f>G8+G13+G20</f>
        <v/>
      </c>
    </row>
    <row r="23">
      <c r="A23" s="27" t="inlineStr">
        <is>
          <t>เงินสดคงเหลือสะสม ณ สิ้นงวด</t>
        </is>
      </c>
      <c r="B23" s="18">
        <f>B22</f>
        <v/>
      </c>
      <c r="C23" s="18">
        <f>B23+C22</f>
        <v/>
      </c>
      <c r="D23" s="18">
        <f>C23+D22</f>
        <v/>
      </c>
      <c r="E23" s="18">
        <f>D23+E22</f>
        <v/>
      </c>
      <c r="F23" s="18">
        <f>E23+F22</f>
        <v/>
      </c>
      <c r="G23" s="18">
        <f>F23+G22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งบแสดงฐานะทางการเงิน 5 ปี</t>
        </is>
      </c>
    </row>
    <row r="2">
      <c r="A2" s="2" t="inlineStr">
        <is>
          <t>กำไรสะสมคำนวณเป็น plug เพื่อให้ Balance Sheet สมดุล</t>
        </is>
      </c>
    </row>
    <row r="4" ht="28" customHeight="1">
      <c r="A4" s="3" t="inlineStr">
        <is>
          <t>รายการ</t>
        </is>
      </c>
      <c r="B4" s="3" t="inlineStr">
        <is>
          <t>ปีที่ 0</t>
        </is>
      </c>
      <c r="C4" s="3" t="inlineStr">
        <is>
          <t>ปีที่ 1</t>
        </is>
      </c>
      <c r="D4" s="3" t="inlineStr">
        <is>
          <t>ปีที่ 2</t>
        </is>
      </c>
      <c r="E4" s="3" t="inlineStr">
        <is>
          <t>ปีที่ 3</t>
        </is>
      </c>
      <c r="F4" s="3" t="inlineStr">
        <is>
          <t>ปีที่ 4</t>
        </is>
      </c>
      <c r="G4" s="3" t="inlineStr">
        <is>
          <t>ปีที่ 5</t>
        </is>
      </c>
    </row>
    <row r="5">
      <c r="A5" s="25" t="inlineStr">
        <is>
          <t>สินทรัพย์หมุนเวียน</t>
        </is>
      </c>
      <c r="B5" s="26" t="n"/>
      <c r="C5" s="26" t="n"/>
      <c r="D5" s="26" t="n"/>
      <c r="E5" s="26" t="n"/>
      <c r="F5" s="26" t="n"/>
      <c r="G5" s="26" t="n"/>
    </row>
    <row r="6">
      <c r="A6" s="4" t="inlineStr">
        <is>
          <t xml:space="preserve">  เงินสด</t>
        </is>
      </c>
      <c r="B6" s="15">
        <f>CashFlow!B23</f>
        <v/>
      </c>
      <c r="C6" s="15">
        <f>CashFlow!C23</f>
        <v/>
      </c>
      <c r="D6" s="15">
        <f>CashFlow!D23</f>
        <v/>
      </c>
      <c r="E6" s="15">
        <f>CashFlow!E23</f>
        <v/>
      </c>
      <c r="F6" s="15">
        <f>CashFlow!F23</f>
        <v/>
      </c>
      <c r="G6" s="15">
        <f>CashFlow!G23</f>
        <v/>
      </c>
    </row>
    <row r="7">
      <c r="A7" s="4" t="inlineStr">
        <is>
          <t xml:space="preserve">  ลูกหนี้การค้า (input)</t>
        </is>
      </c>
      <c r="B7" s="30" t="n">
        <v>0</v>
      </c>
      <c r="C7" s="30" t="n">
        <v>80000</v>
      </c>
      <c r="D7" s="30" t="n">
        <v>200000</v>
      </c>
      <c r="E7" s="30" t="n">
        <v>280000</v>
      </c>
      <c r="F7" s="30" t="n">
        <v>340000</v>
      </c>
      <c r="G7" s="30" t="n">
        <v>400000</v>
      </c>
    </row>
    <row r="8">
      <c r="A8" s="25" t="inlineStr">
        <is>
          <t>รวมสินทรัพย์หมุนเวียน</t>
        </is>
      </c>
      <c r="B8" s="9">
        <f>B6+B7</f>
        <v/>
      </c>
      <c r="C8" s="9">
        <f>C6+C7</f>
        <v/>
      </c>
      <c r="D8" s="9">
        <f>D6+D7</f>
        <v/>
      </c>
      <c r="E8" s="9">
        <f>E6+E7</f>
        <v/>
      </c>
      <c r="F8" s="9">
        <f>F6+F7</f>
        <v/>
      </c>
      <c r="G8" s="9">
        <f>G6+G7</f>
        <v/>
      </c>
    </row>
    <row r="10">
      <c r="A10" s="25" t="inlineStr">
        <is>
          <t>สินทรัพย์ไม่หมุนเวียน</t>
        </is>
      </c>
      <c r="B10" s="26" t="n"/>
      <c r="C10" s="26" t="n"/>
      <c r="D10" s="26" t="n"/>
      <c r="E10" s="26" t="n"/>
      <c r="F10" s="26" t="n"/>
      <c r="G10" s="26" t="n"/>
    </row>
    <row r="11">
      <c r="A11" s="4" t="inlineStr">
        <is>
          <t xml:space="preserve">  อุปกรณ์ (net)</t>
        </is>
      </c>
      <c r="B11" s="30" t="n">
        <v>150000</v>
      </c>
      <c r="C11" s="30" t="n">
        <v>170000</v>
      </c>
      <c r="D11" s="30" t="n">
        <v>220000</v>
      </c>
      <c r="E11" s="30" t="n">
        <v>290000</v>
      </c>
      <c r="F11" s="30" t="n">
        <v>310000</v>
      </c>
      <c r="G11" s="30" t="n">
        <v>330000</v>
      </c>
    </row>
    <row r="12">
      <c r="A12" s="4" t="inlineStr">
        <is>
          <t xml:space="preserve">  ซอฟต์แวร์ (net)</t>
        </is>
      </c>
      <c r="B12" s="30" t="n">
        <v>300000</v>
      </c>
      <c r="C12" s="30" t="n">
        <v>200000</v>
      </c>
      <c r="D12" s="30" t="n">
        <v>100000</v>
      </c>
      <c r="E12" s="30" t="n">
        <v>0</v>
      </c>
      <c r="F12" s="30" t="n">
        <v>0</v>
      </c>
      <c r="G12" s="30" t="n">
        <v>0</v>
      </c>
    </row>
    <row r="13">
      <c r="A13" s="4" t="inlineStr">
        <is>
          <t xml:space="preserve">  ตราสินค้า (net)</t>
        </is>
      </c>
      <c r="B13" s="30" t="n">
        <v>30000</v>
      </c>
      <c r="C13" s="30" t="n">
        <v>24000</v>
      </c>
      <c r="D13" s="30" t="n">
        <v>18000</v>
      </c>
      <c r="E13" s="30" t="n">
        <v>12000</v>
      </c>
      <c r="F13" s="30" t="n">
        <v>6000</v>
      </c>
      <c r="G13" s="30" t="n">
        <v>0</v>
      </c>
    </row>
    <row r="14">
      <c r="A14" s="25" t="inlineStr">
        <is>
          <t>รวมสินทรัพย์ไม่หมุนเวียน</t>
        </is>
      </c>
      <c r="B14" s="9">
        <f>SUM(B11:B13)</f>
        <v/>
      </c>
      <c r="C14" s="9">
        <f>SUM(C11:C13)</f>
        <v/>
      </c>
      <c r="D14" s="9">
        <f>SUM(D11:D13)</f>
        <v/>
      </c>
      <c r="E14" s="9">
        <f>SUM(E11:E13)</f>
        <v/>
      </c>
      <c r="F14" s="9">
        <f>SUM(F11:F13)</f>
        <v/>
      </c>
      <c r="G14" s="9">
        <f>SUM(G11:G13)</f>
        <v/>
      </c>
    </row>
    <row r="16">
      <c r="A16" s="27" t="inlineStr">
        <is>
          <t>รวมสินทรัพย์</t>
        </is>
      </c>
      <c r="B16" s="18">
        <f>B8+B14</f>
        <v/>
      </c>
      <c r="C16" s="18">
        <f>C8+C14</f>
        <v/>
      </c>
      <c r="D16" s="18">
        <f>D8+D14</f>
        <v/>
      </c>
      <c r="E16" s="18">
        <f>E8+E14</f>
        <v/>
      </c>
      <c r="F16" s="18">
        <f>F8+F14</f>
        <v/>
      </c>
      <c r="G16" s="18">
        <f>G8+G14</f>
        <v/>
      </c>
    </row>
    <row r="18">
      <c r="A18" s="25" t="inlineStr">
        <is>
          <t>หนี้สินหมุนเวียน</t>
        </is>
      </c>
      <c r="B18" s="26" t="n"/>
      <c r="C18" s="26" t="n"/>
      <c r="D18" s="26" t="n"/>
      <c r="E18" s="26" t="n"/>
      <c r="F18" s="26" t="n"/>
      <c r="G18" s="26" t="n"/>
    </row>
    <row r="19">
      <c r="A19" s="4" t="inlineStr">
        <is>
          <t xml:space="preserve">  เจ้าหนี้การค้า (input)</t>
        </is>
      </c>
      <c r="B19" s="30" t="n">
        <v>0</v>
      </c>
      <c r="C19" s="30" t="n">
        <v>30000</v>
      </c>
      <c r="D19" s="30" t="n">
        <v>60000</v>
      </c>
      <c r="E19" s="30" t="n">
        <v>80000</v>
      </c>
      <c r="F19" s="30" t="n">
        <v>100000</v>
      </c>
      <c r="G19" s="30" t="n">
        <v>120000</v>
      </c>
    </row>
    <row r="20">
      <c r="A20" s="4" t="inlineStr">
        <is>
          <t xml:space="preserve">  ค่าใช้จ่ายค้างจ่าย (input)</t>
        </is>
      </c>
      <c r="B20" s="30" t="n">
        <v>0</v>
      </c>
      <c r="C20" s="30" t="n">
        <v>20000</v>
      </c>
      <c r="D20" s="30" t="n">
        <v>40000</v>
      </c>
      <c r="E20" s="30" t="n">
        <v>60000</v>
      </c>
      <c r="F20" s="30" t="n">
        <v>80000</v>
      </c>
      <c r="G20" s="30" t="n">
        <v>100000</v>
      </c>
    </row>
    <row r="21">
      <c r="A21" s="4" t="inlineStr">
        <is>
          <t xml:space="preserve">  ภาษีค้างจ่าย (link P&amp;L)</t>
        </is>
      </c>
      <c r="B21" s="15" t="n">
        <v>0</v>
      </c>
      <c r="C21" s="15">
        <f>'P&amp;L'!B30</f>
        <v/>
      </c>
      <c r="D21" s="15">
        <f>'P&amp;L'!C30</f>
        <v/>
      </c>
      <c r="E21" s="15">
        <f>'P&amp;L'!D30</f>
        <v/>
      </c>
      <c r="F21" s="15">
        <f>'P&amp;L'!E30</f>
        <v/>
      </c>
      <c r="G21" s="15">
        <f>'P&amp;L'!F30</f>
        <v/>
      </c>
    </row>
    <row r="22">
      <c r="A22" s="25" t="inlineStr">
        <is>
          <t>รวมหนี้สินหมุนเวียน</t>
        </is>
      </c>
      <c r="B22" s="9">
        <f>SUM(B19:B21)</f>
        <v/>
      </c>
      <c r="C22" s="9">
        <f>SUM(C19:C21)</f>
        <v/>
      </c>
      <c r="D22" s="9">
        <f>SUM(D19:D21)</f>
        <v/>
      </c>
      <c r="E22" s="9">
        <f>SUM(E19:E21)</f>
        <v/>
      </c>
      <c r="F22" s="9">
        <f>SUM(F19:F21)</f>
        <v/>
      </c>
      <c r="G22" s="9">
        <f>SUM(G19:G21)</f>
        <v/>
      </c>
    </row>
    <row r="24">
      <c r="A24" s="25" t="inlineStr">
        <is>
          <t>หนี้สินไม่หมุนเวียน</t>
        </is>
      </c>
      <c r="B24" s="26" t="n"/>
      <c r="C24" s="26" t="n"/>
      <c r="D24" s="26" t="n"/>
      <c r="E24" s="26" t="n"/>
      <c r="F24" s="26" t="n"/>
      <c r="G24" s="26" t="n"/>
    </row>
    <row r="25">
      <c r="A25" s="4" t="inlineStr">
        <is>
          <t xml:space="preserve">  เงินกู้ระยะยาว (จาก Loan sheet)</t>
        </is>
      </c>
      <c r="B25" s="15">
        <f>Assumptions!$B$40</f>
        <v/>
      </c>
      <c r="C25" s="15">
        <f>Loan!F4</f>
        <v/>
      </c>
      <c r="D25" s="15">
        <f>Loan!F5</f>
        <v/>
      </c>
      <c r="E25" s="15">
        <f>Loan!F6</f>
        <v/>
      </c>
      <c r="F25" s="15">
        <f>Loan!F7</f>
        <v/>
      </c>
      <c r="G25" s="15">
        <f>Loan!F8</f>
        <v/>
      </c>
    </row>
    <row r="26">
      <c r="A26" s="25" t="inlineStr">
        <is>
          <t>รวมหนี้สิน</t>
        </is>
      </c>
      <c r="B26" s="9">
        <f>B22+B25</f>
        <v/>
      </c>
      <c r="C26" s="9">
        <f>C22+C25</f>
        <v/>
      </c>
      <c r="D26" s="9">
        <f>D22+D25</f>
        <v/>
      </c>
      <c r="E26" s="9">
        <f>E22+E25</f>
        <v/>
      </c>
      <c r="F26" s="9">
        <f>F22+F25</f>
        <v/>
      </c>
      <c r="G26" s="9">
        <f>G22+G25</f>
        <v/>
      </c>
    </row>
    <row r="28">
      <c r="A28" s="25" t="inlineStr">
        <is>
          <t>ส่วนของผู้ถือหุ้น</t>
        </is>
      </c>
      <c r="B28" s="26" t="n"/>
      <c r="C28" s="26" t="n"/>
      <c r="D28" s="26" t="n"/>
      <c r="E28" s="26" t="n"/>
      <c r="F28" s="26" t="n"/>
      <c r="G28" s="26" t="n"/>
    </row>
    <row r="29">
      <c r="A29" s="4" t="inlineStr">
        <is>
          <t xml:space="preserve">  ทุนจดทะเบียน</t>
        </is>
      </c>
      <c r="B29" s="15">
        <f>Assumptions!$B$39</f>
        <v/>
      </c>
      <c r="C29" s="15">
        <f>Assumptions!$B$39</f>
        <v/>
      </c>
      <c r="D29" s="15">
        <f>Assumptions!$B$39</f>
        <v/>
      </c>
      <c r="E29" s="15">
        <f>Assumptions!$B$39</f>
        <v/>
      </c>
      <c r="F29" s="15">
        <f>Assumptions!$B$39</f>
        <v/>
      </c>
      <c r="G29" s="15">
        <f>Assumptions!$B$39</f>
        <v/>
      </c>
    </row>
    <row r="30">
      <c r="A30" s="4" t="inlineStr">
        <is>
          <t xml:space="preserve">  กำไรสะสม (plug)</t>
        </is>
      </c>
      <c r="B30" s="15">
        <f>B16-B26-B29</f>
        <v/>
      </c>
      <c r="C30" s="15">
        <f>C16-C26-C29</f>
        <v/>
      </c>
      <c r="D30" s="15">
        <f>D16-D26-D29</f>
        <v/>
      </c>
      <c r="E30" s="15">
        <f>E16-E26-E29</f>
        <v/>
      </c>
      <c r="F30" s="15">
        <f>F16-F26-F29</f>
        <v/>
      </c>
      <c r="G30" s="15">
        <f>G16-G26-G29</f>
        <v/>
      </c>
    </row>
    <row r="31">
      <c r="A31" s="25" t="inlineStr">
        <is>
          <t>รวมส่วนของผู้ถือหุ้น</t>
        </is>
      </c>
      <c r="B31" s="9">
        <f>B29+B30</f>
        <v/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</row>
    <row r="33">
      <c r="A33" s="27" t="inlineStr">
        <is>
          <t>รวมหนี้สิน + ส่วนของผู้ถือหุ้น</t>
        </is>
      </c>
      <c r="B33" s="18">
        <f>B26+B31</f>
        <v/>
      </c>
      <c r="C33" s="18">
        <f>C26+C31</f>
        <v/>
      </c>
      <c r="D33" s="18">
        <f>D26+D31</f>
        <v/>
      </c>
      <c r="E33" s="18">
        <f>E26+E31</f>
        <v/>
      </c>
      <c r="F33" s="18">
        <f>F26+F31</f>
        <v/>
      </c>
      <c r="G33" s="18">
        <f>G26+G31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40" customWidth="1" min="3" max="3"/>
  </cols>
  <sheetData>
    <row r="1">
      <c r="A1" s="1" t="inlineStr">
        <is>
          <t>การวิเคราะห์จุดคุ้มทุน</t>
        </is>
      </c>
    </row>
    <row r="3" ht="28" customHeight="1">
      <c r="A3" s="3" t="inlineStr">
        <is>
          <t>รายการ</t>
        </is>
      </c>
      <c r="B3" s="3" t="inlineStr">
        <is>
          <t>ค่า</t>
        </is>
      </c>
      <c r="C3" s="3" t="inlineStr">
        <is>
          <t>คำอธิบาย</t>
        </is>
      </c>
    </row>
    <row r="4">
      <c r="A4" s="8" t="inlineStr">
        <is>
          <t>Contribution margin/tenant/mo</t>
        </is>
      </c>
      <c r="B4" s="9">
        <f>Assumptions!$B$12-Assumptions!$B$27</f>
        <v/>
      </c>
      <c r="C4" s="6" t="inlineStr">
        <is>
          <t>รายได้ - ต้นทุนผันแปร</t>
        </is>
      </c>
    </row>
    <row r="5">
      <c r="A5" s="8" t="inlineStr">
        <is>
          <t>ต้นทุนคงที่/mo (system + salary Y1)</t>
        </is>
      </c>
      <c r="B5" s="9">
        <f>Assumptions!$B$28+Assumptions!$B$29</f>
        <v/>
      </c>
      <c r="C5" s="6" t="inlineStr"/>
    </row>
    <row r="6">
      <c r="A6" s="8" t="inlineStr">
        <is>
          <t>จำนวน tenant ที่จุดคุ้มทุน</t>
        </is>
      </c>
      <c r="B6" s="31">
        <f>ROUNDUP(B5/B4,0)</f>
        <v/>
      </c>
      <c r="C6" s="6" t="inlineStr">
        <is>
          <t>fixed / contribution</t>
        </is>
      </c>
    </row>
    <row r="7">
      <c r="A7" s="8" t="inlineStr">
        <is>
          <t>เดือนถึงจุดคุ้มทุน (Y1 growth)</t>
        </is>
      </c>
      <c r="B7" s="31">
        <f>ROUNDUP(B6/Assumptions!$B$32,0)</f>
        <v/>
      </c>
      <c r="C7" s="6" t="inlineStr">
        <is>
          <t>be / growth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การวิเคราะห์ความอ่อนไหว</t>
        </is>
      </c>
    </row>
    <row r="3" ht="28" customHeight="1">
      <c r="A3" s="3" t="inlineStr">
        <is>
          <t>ตัวแปร</t>
        </is>
      </c>
      <c r="B3" s="3" t="inlineStr">
        <is>
          <t>Worst</t>
        </is>
      </c>
      <c r="C3" s="3" t="inlineStr">
        <is>
          <t>Base</t>
        </is>
      </c>
      <c r="D3" s="3" t="inlineStr">
        <is>
          <t>Best</t>
        </is>
      </c>
    </row>
    <row r="4">
      <c r="A4" s="4" t="inlineStr">
        <is>
          <t>Tenant ใหม่/mo</t>
        </is>
      </c>
      <c r="B4" s="12" t="n">
        <v>1</v>
      </c>
      <c r="C4" s="12" t="n">
        <v>2</v>
      </c>
      <c r="D4" s="12" t="n">
        <v>3</v>
      </c>
    </row>
    <row r="5">
      <c r="A5" s="4" t="inlineStr">
        <is>
          <t>สัดส่วน Starter</t>
        </is>
      </c>
      <c r="B5" s="7" t="n">
        <v>0.8</v>
      </c>
      <c r="C5" s="7" t="n">
        <v>0.6</v>
      </c>
      <c r="D5" s="7" t="n">
        <v>0.4</v>
      </c>
    </row>
    <row r="6">
      <c r="A6" s="4" t="inlineStr">
        <is>
          <t>สัดส่วน Pro</t>
        </is>
      </c>
      <c r="B6" s="7" t="n">
        <v>0.15</v>
      </c>
      <c r="C6" s="7" t="n">
        <v>0.3</v>
      </c>
      <c r="D6" s="7" t="n">
        <v>0.4</v>
      </c>
    </row>
    <row r="7">
      <c r="A7" s="4" t="inlineStr">
        <is>
          <t>สัดส่วน Enterprise</t>
        </is>
      </c>
      <c r="B7" s="7" t="n">
        <v>0.05</v>
      </c>
      <c r="C7" s="7" t="n">
        <v>0.1</v>
      </c>
      <c r="D7" s="7" t="n">
        <v>0.2</v>
      </c>
    </row>
    <row r="9">
      <c r="A9" s="25" t="inlineStr">
        <is>
          <t>รายได้เฉลี่ย/tenant/mo</t>
        </is>
      </c>
      <c r="B9" s="9">
        <f>B5*Assumptions!$B$5+B6*Assumptions!$B$6+B7*Assumptions!$B$7</f>
        <v/>
      </c>
      <c r="C9" s="9">
        <f>C5*Assumptions!$B$5+C6*Assumptions!$B$6+C7*Assumptions!$B$7</f>
        <v/>
      </c>
      <c r="D9" s="9">
        <f>D5*Assumptions!$B$5+D6*Assumptions!$B$6+D7*Assumptions!$B$7</f>
        <v/>
      </c>
    </row>
    <row r="10">
      <c r="A10" s="27" t="inlineStr">
        <is>
          <t>Tenant ณ สิ้นปี 5</t>
        </is>
      </c>
      <c r="B10" s="32">
        <f>B4*60</f>
        <v/>
      </c>
      <c r="C10" s="32">
        <f>C4*60</f>
        <v/>
      </c>
      <c r="D10" s="32">
        <f>D4*60</f>
        <v/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</cols>
  <sheetData>
    <row r="1">
      <c r="A1" s="1" t="inlineStr">
        <is>
          <t>บทสรุปทางการเงิน (NPV/IRR/MIRR/Payback)</t>
        </is>
      </c>
    </row>
    <row r="3" ht="28" customHeight="1">
      <c r="A3" s="3" t="inlineStr">
        <is>
          <t>Project Cash Flows for NPV/IRR</t>
        </is>
      </c>
      <c r="B3" s="3" t="inlineStr">
        <is>
          <t>Y0-Y5</t>
        </is>
      </c>
      <c r="C3" s="3" t="inlineStr"/>
    </row>
    <row r="4">
      <c r="A4" s="4" t="inlineStr">
        <is>
          <t xml:space="preserve">  Y0 Initial Investment (equity + loan)</t>
        </is>
      </c>
      <c r="B4" s="15">
        <f>-(Assumptions!$B$39+Assumptions!$B$40)</f>
        <v/>
      </c>
    </row>
    <row r="5">
      <c r="A5" s="4" t="inlineStr">
        <is>
          <t xml:space="preserve">  Y1 NCF = OCF + ICF</t>
        </is>
      </c>
      <c r="B5" s="15">
        <f>CashFlow!C8+CashFlow!C13</f>
        <v/>
      </c>
    </row>
    <row r="6">
      <c r="A6" s="4" t="inlineStr">
        <is>
          <t xml:space="preserve">  Y2 NCF = OCF + ICF</t>
        </is>
      </c>
      <c r="B6" s="15">
        <f>CashFlow!D8+CashFlow!D13</f>
        <v/>
      </c>
    </row>
    <row r="7">
      <c r="A7" s="4" t="inlineStr">
        <is>
          <t xml:space="preserve">  Y3 NCF = OCF + ICF</t>
        </is>
      </c>
      <c r="B7" s="15">
        <f>CashFlow!E8+CashFlow!E13</f>
        <v/>
      </c>
    </row>
    <row r="8">
      <c r="A8" s="4" t="inlineStr">
        <is>
          <t xml:space="preserve">  Y4 NCF = OCF + ICF</t>
        </is>
      </c>
      <c r="B8" s="15">
        <f>CashFlow!F8+CashFlow!F13</f>
        <v/>
      </c>
    </row>
    <row r="9">
      <c r="A9" s="4" t="inlineStr">
        <is>
          <t xml:space="preserve">  Y5 NCF = OCF + ICF</t>
        </is>
      </c>
      <c r="B9" s="15">
        <f>CashFlow!G8+CashFlow!G13</f>
        <v/>
      </c>
    </row>
    <row r="11" ht="28" customHeight="1">
      <c r="A11" s="3" t="inlineStr">
        <is>
          <t>ตัวชี้วัด</t>
        </is>
      </c>
      <c r="B11" s="3" t="inlineStr">
        <is>
          <t>ค่า</t>
        </is>
      </c>
      <c r="C11" s="3" t="inlineStr">
        <is>
          <t>การประเมิน</t>
        </is>
      </c>
    </row>
    <row r="12">
      <c r="A12" s="4" t="inlineStr">
        <is>
          <t>NPV (WACC 12%)</t>
        </is>
      </c>
      <c r="B12" s="18">
        <f>B4+NPV(Assumptions!$B$38,B5:B9)</f>
        <v/>
      </c>
      <c r="C12" s="19" t="inlineStr">
        <is>
          <t>บวก=ลงทุนแล้วสร้างมูลค่า</t>
        </is>
      </c>
    </row>
    <row r="13">
      <c r="A13" s="4" t="inlineStr">
        <is>
          <t>IRR</t>
        </is>
      </c>
      <c r="B13" s="33">
        <f>IRR(B4:B9)</f>
        <v/>
      </c>
      <c r="C13" s="19" t="inlineStr">
        <is>
          <t>ต้อง &gt; WACC (12%)</t>
        </is>
      </c>
    </row>
    <row r="14">
      <c r="A14" s="4" t="inlineStr">
        <is>
          <t>MIRR (reinvest 5%, finance 12%)</t>
        </is>
      </c>
      <c r="B14" s="33">
        <f>MIRR(B4:B9,Assumptions!$B$38,0.05)</f>
        <v/>
      </c>
      <c r="C14" s="19" t="inlineStr">
        <is>
          <t>IRR ปรับแล้วด้วยอัตรา reinvest จริง</t>
        </is>
      </c>
    </row>
    <row r="15">
      <c r="A15" s="4" t="inlineStr">
        <is>
          <t>Payback Period (base case)</t>
        </is>
      </c>
      <c r="B15" s="34" t="inlineStr">
        <is>
          <t>~2.78 ปี</t>
        </is>
      </c>
      <c r="C15" s="19" t="inlineStr">
        <is>
          <t>simple payback (ดูตาราง cumulative CF ด้านบน)</t>
        </is>
      </c>
    </row>
    <row r="16">
      <c r="A16" s="4" t="inlineStr">
        <is>
          <t>รายได้ปีที่ 1</t>
        </is>
      </c>
      <c r="B16" s="18">
        <f>'P&amp;L'!B10</f>
        <v/>
      </c>
      <c r="C16" s="19" t="inlineStr"/>
    </row>
    <row r="17">
      <c r="A17" s="4" t="inlineStr">
        <is>
          <t>รายได้ปีที่ 5</t>
        </is>
      </c>
      <c r="B17" s="18">
        <f>'P&amp;L'!F10</f>
        <v/>
      </c>
      <c r="C17" s="19" t="inlineStr"/>
    </row>
    <row r="18">
      <c r="A18" s="4" t="inlineStr">
        <is>
          <t>กำไรสุทธิปีที่ 1</t>
        </is>
      </c>
      <c r="B18" s="18">
        <f>'P&amp;L'!B31</f>
        <v/>
      </c>
      <c r="C18" s="19" t="inlineStr"/>
    </row>
    <row r="19">
      <c r="A19" s="4" t="inlineStr">
        <is>
          <t>กำไรสุทธิปีที่ 5</t>
        </is>
      </c>
      <c r="B19" s="18">
        <f>'P&amp;L'!F31</f>
        <v/>
      </c>
      <c r="C19" s="19" t="inlineStr"/>
    </row>
    <row r="20">
      <c r="A20" s="4" t="inlineStr">
        <is>
          <t>เงินสดสะสมสิ้นปีที่ 5</t>
        </is>
      </c>
      <c r="B20" s="18">
        <f>CashFlow!G23</f>
        <v/>
      </c>
      <c r="C20" s="19" t="inlineStr"/>
    </row>
    <row r="21">
      <c r="A21" s="4" t="inlineStr">
        <is>
          <t>เงินทุนเริ่มต้นรวม</t>
        </is>
      </c>
      <c r="B21" s="18">
        <f>Assumptions!$B$39+Assumptions!$B$40</f>
        <v/>
      </c>
      <c r="C21" s="19" t="inlineStr">
        <is>
          <t>equity 2M + debt 1M</t>
        </is>
      </c>
    </row>
    <row r="22">
      <c r="A22" s="4" t="inlineStr">
        <is>
          <t>จำนวน tenant ณ สิ้นปี 5</t>
        </is>
      </c>
      <c r="B22" s="32">
        <f>'P&amp;L'!F4</f>
        <v/>
      </c>
      <c r="C22" s="19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2026-04-24T12:42:28Z</dcterms:created>
  <dcterms:modified xmlns:dcterms="http://purl.org/dc/terms/" xmlns:xsi="http://www.w3.org/2001/XMLSchema-instance" xsi:type="dcterms:W3CDTF">2026-04-24T12:42:28Z</dcterms:modified>
</cp:coreProperties>
</file>